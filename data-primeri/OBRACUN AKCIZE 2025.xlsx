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TILERIJA\DESTILERIJA\DESTILERIJA DOKUMENTI\OBRACUN AKCIZE PO PERIODU PLACANJA\"/>
    </mc:Choice>
  </mc:AlternateContent>
  <xr:revisionPtr revIDLastSave="0" documentId="13_ncr:1_{F512E300-19B0-4700-B191-AC804A29452D}" xr6:coauthVersionLast="47" xr6:coauthVersionMax="47" xr10:uidLastSave="{00000000-0000-0000-0000-000000000000}"/>
  <bookViews>
    <workbookView xWindow="-108" yWindow="-108" windowWidth="23256" windowHeight="12576" xr2:uid="{78F0E404-CFA7-4308-82BD-3E2BAD4C5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G29" i="1"/>
  <c r="F29" i="1"/>
  <c r="E29" i="1"/>
  <c r="D29" i="1"/>
  <c r="M29" i="1"/>
  <c r="L29" i="1"/>
</calcChain>
</file>

<file path=xl/sharedStrings.xml><?xml version="1.0" encoding="utf-8"?>
<sst xmlns="http://schemas.openxmlformats.org/spreadsheetml/2006/main" count="186" uniqueCount="134">
  <si>
    <t>DATUM</t>
  </si>
  <si>
    <t>LOT</t>
  </si>
  <si>
    <t>VRSTA</t>
  </si>
  <si>
    <t>KOLICINA/KOMADA</t>
  </si>
  <si>
    <t>0.5L</t>
  </si>
  <si>
    <t>0.7L</t>
  </si>
  <si>
    <t>1L</t>
  </si>
  <si>
    <t>KOLICINA/LITARA</t>
  </si>
  <si>
    <t xml:space="preserve">AM OD </t>
  </si>
  <si>
    <t>AM DO</t>
  </si>
  <si>
    <t>IZNOS AKCIZE POJEDINACNO</t>
  </si>
  <si>
    <t>UKUPNO AKCIZA</t>
  </si>
  <si>
    <t>UKUPNO UPLACENO ZA ZADATI PERIOD</t>
  </si>
  <si>
    <t>DATUM UPLATE</t>
  </si>
  <si>
    <t>ROK UPLATE</t>
  </si>
  <si>
    <t>KVARTAL</t>
  </si>
  <si>
    <t>VILJAMOVKA</t>
  </si>
  <si>
    <t>I</t>
  </si>
  <si>
    <t>SLJIVA BARIK</t>
  </si>
  <si>
    <t>KAJSIJA</t>
  </si>
  <si>
    <t>25.01.2025</t>
  </si>
  <si>
    <t>01112023-3</t>
  </si>
  <si>
    <t>AC0058001</t>
  </si>
  <si>
    <t>AC0058170</t>
  </si>
  <si>
    <t>15.02.2025</t>
  </si>
  <si>
    <t>01.02.2025</t>
  </si>
  <si>
    <t>01112022-2</t>
  </si>
  <si>
    <t>DUNJA DEDOVINA</t>
  </si>
  <si>
    <t>AC0058171</t>
  </si>
  <si>
    <t>AC0058380</t>
  </si>
  <si>
    <t>29.02.2025</t>
  </si>
  <si>
    <t>17.02.2025</t>
  </si>
  <si>
    <t>20.02.2025</t>
  </si>
  <si>
    <t>01112023-1A</t>
  </si>
  <si>
    <t>01112024-3</t>
  </si>
  <si>
    <t xml:space="preserve">DUNJA  </t>
  </si>
  <si>
    <t>AC0058381</t>
  </si>
  <si>
    <t>AC0058400</t>
  </si>
  <si>
    <t>AC0058401</t>
  </si>
  <si>
    <t>AC0058420</t>
  </si>
  <si>
    <t>AC0058421</t>
  </si>
  <si>
    <t>AC0058440</t>
  </si>
  <si>
    <t>AC0058441</t>
  </si>
  <si>
    <t>15.03.2025</t>
  </si>
  <si>
    <t>17.03.2025</t>
  </si>
  <si>
    <t>AC0058590</t>
  </si>
  <si>
    <t>15.04.2025</t>
  </si>
  <si>
    <t>01.04.2025</t>
  </si>
  <si>
    <t>DUNJA</t>
  </si>
  <si>
    <t>AC0058591</t>
  </si>
  <si>
    <t>AC0058702</t>
  </si>
  <si>
    <t>AC0058703</t>
  </si>
  <si>
    <t>30.04.2025</t>
  </si>
  <si>
    <t>29.04.2025</t>
  </si>
  <si>
    <t>II</t>
  </si>
  <si>
    <t>01.05.2025</t>
  </si>
  <si>
    <t>01112022-7</t>
  </si>
  <si>
    <t>AC0058732</t>
  </si>
  <si>
    <t>AC0058733</t>
  </si>
  <si>
    <t>AC0058852</t>
  </si>
  <si>
    <t>AC0058853</t>
  </si>
  <si>
    <t>31.05.2025</t>
  </si>
  <si>
    <t>16.05.2025</t>
  </si>
  <si>
    <t>27.05.2025</t>
  </si>
  <si>
    <t>01112019-8</t>
  </si>
  <si>
    <t>01112019-7CL</t>
  </si>
  <si>
    <t>JABUKA BARIK CLASSIC</t>
  </si>
  <si>
    <t>SLJIVA BARIK CLASSIC</t>
  </si>
  <si>
    <t>AC0058972</t>
  </si>
  <si>
    <t>AC0058973</t>
  </si>
  <si>
    <t>AC0059170</t>
  </si>
  <si>
    <t>AC0059171</t>
  </si>
  <si>
    <t>AC0059380</t>
  </si>
  <si>
    <t>AC0059381</t>
  </si>
  <si>
    <t>09.06.2025</t>
  </si>
  <si>
    <t>15.06.2025</t>
  </si>
  <si>
    <t>07.02.2025</t>
  </si>
  <si>
    <t>07.03.2025</t>
  </si>
  <si>
    <t>21.05.2025   NLB</t>
  </si>
  <si>
    <t>01.07.2025</t>
  </si>
  <si>
    <t>22.07.2025</t>
  </si>
  <si>
    <t>AC0059530</t>
  </si>
  <si>
    <t>AC0059531</t>
  </si>
  <si>
    <t>AC0060070</t>
  </si>
  <si>
    <t>III</t>
  </si>
  <si>
    <t>29.07.2025</t>
  </si>
  <si>
    <t>31.07.2025</t>
  </si>
  <si>
    <t>AC0060071</t>
  </si>
  <si>
    <t>AC0060190</t>
  </si>
  <si>
    <t>AC0060191</t>
  </si>
  <si>
    <t>AC0060292</t>
  </si>
  <si>
    <t>11.08.2025</t>
  </si>
  <si>
    <t>15.08.2025</t>
  </si>
  <si>
    <t>OBRACUN AKCIZE 2025</t>
  </si>
  <si>
    <t>16.10.2025</t>
  </si>
  <si>
    <t>01112017-6</t>
  </si>
  <si>
    <t>DUNJA BARIK</t>
  </si>
  <si>
    <t>10.11.2025</t>
  </si>
  <si>
    <t>01112020-7</t>
  </si>
  <si>
    <t>01112023-1B</t>
  </si>
  <si>
    <t>04.12.2025</t>
  </si>
  <si>
    <t>01112019-6</t>
  </si>
  <si>
    <t>18.12.2025</t>
  </si>
  <si>
    <t>23.12.2025</t>
  </si>
  <si>
    <t>STARA STIPNOVA SLJIVA BARIK</t>
  </si>
  <si>
    <t>STIPANOVA KAJSIJA</t>
  </si>
  <si>
    <t>AC0060293</t>
  </si>
  <si>
    <t>AC0060342</t>
  </si>
  <si>
    <t>AC0060343</t>
  </si>
  <si>
    <t>AC0060397</t>
  </si>
  <si>
    <t>AC0060398</t>
  </si>
  <si>
    <t>AC0060517</t>
  </si>
  <si>
    <t>AC0060518</t>
  </si>
  <si>
    <t>AC0060547</t>
  </si>
  <si>
    <t>AC0060548</t>
  </si>
  <si>
    <t>AC0060667</t>
  </si>
  <si>
    <t>AC0060668</t>
  </si>
  <si>
    <t>AC0060787</t>
  </si>
  <si>
    <t>AC0060788</t>
  </si>
  <si>
    <t>AC0060907</t>
  </si>
  <si>
    <t>AC0060908</t>
  </si>
  <si>
    <t>AC0060967</t>
  </si>
  <si>
    <t>AC0060968</t>
  </si>
  <si>
    <t>AC0061267</t>
  </si>
  <si>
    <t>AC0061268</t>
  </si>
  <si>
    <t>AC0061567</t>
  </si>
  <si>
    <t>IV</t>
  </si>
  <si>
    <t>15.11.2025</t>
  </si>
  <si>
    <t>30.11.2025</t>
  </si>
  <si>
    <t>03.12.2025</t>
  </si>
  <si>
    <t>31.12.2025</t>
  </si>
  <si>
    <t>22.12.2025</t>
  </si>
  <si>
    <t>15.01.2026</t>
  </si>
  <si>
    <t>06.01.2026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</si>
</sst>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164" fontId="1" fillId="0" borderId="2" xfId="1" applyNumberFormat="1" applyBorder="1"/>
    <xf numFmtId="0" fontId="1" fillId="0" borderId="2" xfId="1" applyBorder="1"/>
    <xf numFmtId="0" fontId="1" fillId="0" borderId="3" xfId="1" applyBorder="1"/>
    <xf numFmtId="0" fontId="1" fillId="0" borderId="3" xfId="1" applyBorder="1" applyAlignment="1">
      <alignment horizontal="center" wrapText="1"/>
    </xf>
    <xf numFmtId="0" fontId="1" fillId="0" borderId="3" xfId="1" applyBorder="1" applyAlignment="1">
      <alignment horizontal="center"/>
    </xf>
    <xf numFmtId="2" fontId="1" fillId="0" borderId="3" xfId="1" applyNumberFormat="1" applyBorder="1" applyAlignment="1">
      <alignment horizontal="right" wrapText="1"/>
    </xf>
    <xf numFmtId="0" fontId="1" fillId="0" borderId="3" xfId="1" applyBorder="1" applyAlignment="1">
      <alignment wrapText="1"/>
    </xf>
    <xf numFmtId="0" fontId="1" fillId="0" borderId="2" xfId="1" applyBorder="1" applyAlignment="1">
      <alignment wrapText="1"/>
    </xf>
    <xf numFmtId="164" fontId="1" fillId="0" borderId="2" xfId="1" applyNumberFormat="1" applyBorder="1" applyAlignment="1">
      <alignment horizontal="center" wrapText="1"/>
    </xf>
    <xf numFmtId="0" fontId="1" fillId="0" borderId="2" xfId="1" applyBorder="1" applyAlignment="1">
      <alignment horizontal="right"/>
    </xf>
    <xf numFmtId="164" fontId="1" fillId="0" borderId="4" xfId="1" applyNumberFormat="1" applyBorder="1"/>
    <xf numFmtId="0" fontId="1" fillId="0" borderId="4" xfId="1" applyBorder="1"/>
    <xf numFmtId="0" fontId="1" fillId="0" borderId="5" xfId="1" applyBorder="1"/>
    <xf numFmtId="2" fontId="1" fillId="0" borderId="5" xfId="1" applyNumberFormat="1" applyBorder="1" applyAlignment="1">
      <alignment horizontal="right"/>
    </xf>
    <xf numFmtId="2" fontId="1" fillId="0" borderId="5" xfId="1" applyNumberFormat="1" applyBorder="1"/>
    <xf numFmtId="2" fontId="1" fillId="0" borderId="4" xfId="1" applyNumberFormat="1" applyBorder="1"/>
    <xf numFmtId="0" fontId="1" fillId="0" borderId="4" xfId="1" applyBorder="1" applyAlignment="1">
      <alignment horizontal="center" wrapText="1"/>
    </xf>
    <xf numFmtId="164" fontId="1" fillId="0" borderId="7" xfId="1" applyNumberFormat="1" applyBorder="1"/>
    <xf numFmtId="0" fontId="1" fillId="0" borderId="7" xfId="1" applyBorder="1"/>
    <xf numFmtId="2" fontId="1" fillId="0" borderId="7" xfId="1" applyNumberFormat="1" applyBorder="1" applyAlignment="1">
      <alignment horizontal="right"/>
    </xf>
    <xf numFmtId="2" fontId="1" fillId="0" borderId="4" xfId="1" applyNumberFormat="1" applyBorder="1" applyAlignment="1">
      <alignment horizontal="center"/>
    </xf>
    <xf numFmtId="2" fontId="1" fillId="0" borderId="7" xfId="1" applyNumberFormat="1" applyBorder="1"/>
    <xf numFmtId="0" fontId="1" fillId="0" borderId="7" xfId="1" applyBorder="1" applyAlignment="1">
      <alignment horizontal="center" wrapText="1"/>
    </xf>
    <xf numFmtId="2" fontId="1" fillId="0" borderId="6" xfId="1" applyNumberFormat="1" applyBorder="1" applyAlignment="1">
      <alignment horizontal="center"/>
    </xf>
    <xf numFmtId="0" fontId="1" fillId="0" borderId="6" xfId="1" applyBorder="1"/>
    <xf numFmtId="164" fontId="1" fillId="0" borderId="4" xfId="1" applyNumberFormat="1" applyBorder="1" applyAlignment="1">
      <alignment wrapText="1"/>
    </xf>
    <xf numFmtId="0" fontId="1" fillId="0" borderId="4" xfId="1" applyBorder="1" applyAlignment="1">
      <alignment wrapText="1"/>
    </xf>
    <xf numFmtId="0" fontId="1" fillId="0" borderId="7" xfId="1" applyBorder="1" applyAlignment="1">
      <alignment wrapText="1"/>
    </xf>
    <xf numFmtId="2" fontId="1" fillId="0" borderId="7" xfId="1" applyNumberFormat="1" applyBorder="1" applyAlignment="1">
      <alignment horizontal="center"/>
    </xf>
    <xf numFmtId="2" fontId="1" fillId="0" borderId="4" xfId="1" applyNumberFormat="1" applyBorder="1" applyAlignment="1">
      <alignment horizontal="right"/>
    </xf>
    <xf numFmtId="2" fontId="1" fillId="0" borderId="2" xfId="1" applyNumberFormat="1" applyBorder="1" applyAlignment="1">
      <alignment horizontal="right"/>
    </xf>
    <xf numFmtId="2" fontId="1" fillId="0" borderId="2" xfId="1" applyNumberFormat="1" applyBorder="1" applyAlignment="1">
      <alignment horizontal="center"/>
    </xf>
    <xf numFmtId="2" fontId="1" fillId="0" borderId="2" xfId="1" applyNumberFormat="1" applyBorder="1"/>
    <xf numFmtId="2" fontId="1" fillId="0" borderId="2" xfId="1" applyNumberFormat="1" applyBorder="1" applyAlignment="1">
      <alignment wrapText="1"/>
    </xf>
    <xf numFmtId="0" fontId="1" fillId="0" borderId="2" xfId="1" applyBorder="1" applyAlignment="1">
      <alignment horizontal="center" wrapText="1"/>
    </xf>
    <xf numFmtId="2" fontId="1" fillId="0" borderId="8" xfId="1" applyNumberFormat="1" applyBorder="1" applyAlignment="1">
      <alignment horizontal="right"/>
    </xf>
    <xf numFmtId="2" fontId="1" fillId="0" borderId="9" xfId="1" applyNumberFormat="1" applyBorder="1" applyAlignment="1">
      <alignment horizontal="center"/>
    </xf>
    <xf numFmtId="164" fontId="0" fillId="0" borderId="6" xfId="1" applyNumberFormat="1" applyFont="1" applyBorder="1"/>
    <xf numFmtId="164" fontId="0" fillId="0" borderId="2" xfId="1" applyNumberFormat="1" applyFont="1" applyBorder="1" applyAlignment="1">
      <alignment wrapText="1"/>
    </xf>
    <xf numFmtId="2" fontId="0" fillId="0" borderId="0" xfId="0" applyNumberFormat="1"/>
    <xf numFmtId="0" fontId="1" fillId="0" borderId="3" xfId="1" applyBorder="1" applyAlignment="1">
      <alignment horizontal="center" wrapText="1"/>
    </xf>
    <xf numFmtId="0" fontId="1" fillId="0" borderId="4" xfId="1" applyBorder="1" applyAlignment="1">
      <alignment horizontal="center" wrapText="1"/>
    </xf>
    <xf numFmtId="164" fontId="1" fillId="0" borderId="3" xfId="1" applyNumberFormat="1" applyBorder="1" applyAlignment="1">
      <alignment horizontal="center" wrapText="1"/>
    </xf>
    <xf numFmtId="164" fontId="1" fillId="0" borderId="4" xfId="1" applyNumberFormat="1" applyBorder="1" applyAlignment="1">
      <alignment horizontal="center" wrapText="1"/>
    </xf>
    <xf numFmtId="2" fontId="1" fillId="0" borderId="3" xfId="1" applyNumberFormat="1" applyBorder="1" applyAlignment="1">
      <alignment horizontal="center" wrapText="1"/>
    </xf>
    <xf numFmtId="2" fontId="1" fillId="0" borderId="4" xfId="1" applyNumberFormat="1" applyBorder="1" applyAlignment="1">
      <alignment horizontal="center" wrapText="1"/>
    </xf>
    <xf numFmtId="0" fontId="1" fillId="0" borderId="6" xfId="1" applyBorder="1" applyAlignment="1">
      <alignment horizontal="center" wrapText="1"/>
    </xf>
    <xf numFmtId="0" fontId="1" fillId="0" borderId="8" xfId="1" applyBorder="1" applyAlignment="1">
      <alignment horizontal="center" wrapText="1"/>
    </xf>
    <xf numFmtId="164" fontId="1" fillId="0" borderId="6" xfId="1" applyNumberFormat="1" applyBorder="1" applyAlignment="1">
      <alignment horizontal="center" wrapText="1"/>
    </xf>
    <xf numFmtId="164" fontId="1" fillId="0" borderId="8" xfId="1" applyNumberFormat="1" applyBorder="1" applyAlignment="1">
      <alignment horizontal="center" wrapText="1"/>
    </xf>
    <xf numFmtId="2" fontId="1" fillId="0" borderId="6" xfId="1" applyNumberFormat="1" applyBorder="1" applyAlignment="1">
      <alignment horizontal="center" wrapText="1"/>
    </xf>
    <xf numFmtId="2" fontId="1" fillId="0" borderId="8" xfId="1" applyNumberFormat="1" applyBorder="1" applyAlignment="1">
      <alignment horizontal="center" wrapText="1"/>
    </xf>
    <xf numFmtId="164" fontId="0" fillId="0" borderId="3" xfId="1" applyNumberFormat="1" applyFont="1" applyBorder="1" applyAlignment="1">
      <alignment horizontal="center" wrapText="1"/>
    </xf>
    <xf numFmtId="164" fontId="1" fillId="0" borderId="9" xfId="1" applyNumberFormat="1" applyBorder="1" applyAlignment="1">
      <alignment horizontal="center" wrapText="1"/>
    </xf>
    <xf numFmtId="2" fontId="1" fillId="0" borderId="9" xfId="1" applyNumberFormat="1" applyBorder="1" applyAlignment="1">
      <alignment horizontal="center" wrapText="1"/>
    </xf>
    <xf numFmtId="0" fontId="1" fillId="0" borderId="9" xfId="1" applyBorder="1" applyAlignment="1">
      <alignment horizontal="center" wrapText="1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2" fontId="1" fillId="0" borderId="3" xfId="1" applyNumberFormat="1" applyBorder="1" applyAlignment="1">
      <alignment horizontal="right" wrapText="1"/>
    </xf>
    <xf numFmtId="2" fontId="1" fillId="0" borderId="8" xfId="1" applyNumberFormat="1" applyBorder="1" applyAlignment="1">
      <alignment horizontal="right" wrapText="1"/>
    </xf>
    <xf numFmtId="2" fontId="1" fillId="0" borderId="4" xfId="1" applyNumberFormat="1" applyBorder="1" applyAlignment="1">
      <alignment horizontal="right" wrapText="1"/>
    </xf>
  </cellXfs>
  <cellStyles count="2">
    <cellStyle name="Normal" xfId="0" builtinId="0"/>
    <cellStyle name="Normal 2" xfId="1" xr:uid="{2DF22F9C-0828-4A9F-950D-5DBBDA68CB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0726-6C02-4BB9-9101-AD5136B0C35B}">
  <sheetPr>
    <pageSetUpPr fitToPage="1"/>
  </sheetPr>
  <dimension ref="A1:P29"/>
  <sheetViews>
    <sheetView tabSelected="1" workbookViewId="0">
      <selection activeCell="H30" sqref="H30"/>
    </sheetView>
  </sheetViews>
  <sheetFormatPr defaultRowHeight="14.4" x14ac:dyDescent="0.3"/>
  <cols>
    <col min="1" max="1" width="10.109375" bestFit="1" customWidth="1"/>
    <col min="2" max="2" width="12.6640625" bestFit="1" customWidth="1"/>
    <col min="3" max="3" width="19.88671875" bestFit="1" customWidth="1"/>
    <col min="4" max="4" width="9.44140625" customWidth="1"/>
    <col min="9" max="10" width="11.88671875" bestFit="1" customWidth="1"/>
    <col min="11" max="11" width="8.109375" bestFit="1" customWidth="1"/>
    <col min="12" max="12" width="14.6640625" bestFit="1" customWidth="1"/>
    <col min="13" max="13" width="9.5546875" bestFit="1" customWidth="1"/>
    <col min="14" max="14" width="10.109375" bestFit="1" customWidth="1"/>
    <col min="15" max="15" width="11.21875" bestFit="1" customWidth="1"/>
    <col min="16" max="16" width="8.33203125" bestFit="1" customWidth="1"/>
  </cols>
  <sheetData>
    <row r="1" spans="1:16" x14ac:dyDescent="0.3">
      <c r="A1" s="57" t="s">
        <v>93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 ht="72.599999999999994" thickBot="1" x14ac:dyDescent="0.3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3" t="s">
        <v>5</v>
      </c>
      <c r="G2" s="3" t="s">
        <v>6</v>
      </c>
      <c r="H2" s="6" t="s">
        <v>7</v>
      </c>
      <c r="I2" s="4" t="s">
        <v>8</v>
      </c>
      <c r="J2" s="4" t="s">
        <v>9</v>
      </c>
      <c r="K2" s="7" t="s">
        <v>10</v>
      </c>
      <c r="L2" s="2" t="s">
        <v>11</v>
      </c>
      <c r="M2" s="8" t="s">
        <v>12</v>
      </c>
      <c r="N2" s="9" t="s">
        <v>13</v>
      </c>
      <c r="O2" s="10" t="s">
        <v>14</v>
      </c>
      <c r="P2" s="2" t="s">
        <v>15</v>
      </c>
    </row>
    <row r="3" spans="1:16" x14ac:dyDescent="0.3">
      <c r="A3" s="11" t="s">
        <v>20</v>
      </c>
      <c r="B3" s="12" t="s">
        <v>21</v>
      </c>
      <c r="C3" s="13" t="s">
        <v>16</v>
      </c>
      <c r="D3" s="13">
        <v>170</v>
      </c>
      <c r="E3" s="13">
        <v>0</v>
      </c>
      <c r="F3" s="13">
        <v>0</v>
      </c>
      <c r="G3" s="13">
        <v>170</v>
      </c>
      <c r="H3" s="14">
        <v>170</v>
      </c>
      <c r="I3" s="24" t="s">
        <v>22</v>
      </c>
      <c r="J3" s="24" t="s">
        <v>23</v>
      </c>
      <c r="K3" s="15">
        <v>220.4</v>
      </c>
      <c r="L3" s="16">
        <v>37468</v>
      </c>
      <c r="M3" s="36">
        <v>37468</v>
      </c>
      <c r="N3" s="38" t="s">
        <v>76</v>
      </c>
      <c r="O3" s="25" t="s">
        <v>24</v>
      </c>
      <c r="P3" s="17" t="s">
        <v>17</v>
      </c>
    </row>
    <row r="4" spans="1:16" x14ac:dyDescent="0.3">
      <c r="A4" s="18" t="s">
        <v>25</v>
      </c>
      <c r="B4" s="19" t="s">
        <v>26</v>
      </c>
      <c r="C4" s="19" t="s">
        <v>27</v>
      </c>
      <c r="D4" s="19">
        <v>210</v>
      </c>
      <c r="E4" s="19">
        <v>0</v>
      </c>
      <c r="F4" s="19">
        <v>210</v>
      </c>
      <c r="G4" s="19">
        <v>0</v>
      </c>
      <c r="H4" s="20">
        <v>147</v>
      </c>
      <c r="I4" s="29" t="s">
        <v>28</v>
      </c>
      <c r="J4" s="29" t="s">
        <v>29</v>
      </c>
      <c r="K4" s="22">
        <v>235.45</v>
      </c>
      <c r="L4" s="22">
        <v>34611.15</v>
      </c>
      <c r="M4" s="20">
        <v>34611.15</v>
      </c>
      <c r="N4" s="18" t="s">
        <v>32</v>
      </c>
      <c r="O4" s="19" t="s">
        <v>30</v>
      </c>
      <c r="P4" s="23" t="s">
        <v>17</v>
      </c>
    </row>
    <row r="5" spans="1:16" x14ac:dyDescent="0.3">
      <c r="A5" s="18" t="s">
        <v>31</v>
      </c>
      <c r="B5" s="19" t="s">
        <v>26</v>
      </c>
      <c r="C5" s="19" t="s">
        <v>35</v>
      </c>
      <c r="D5" s="19">
        <v>20</v>
      </c>
      <c r="E5" s="19">
        <v>20</v>
      </c>
      <c r="F5" s="19">
        <v>0</v>
      </c>
      <c r="G5" s="19">
        <v>0</v>
      </c>
      <c r="H5" s="20">
        <v>10</v>
      </c>
      <c r="I5" s="29" t="s">
        <v>36</v>
      </c>
      <c r="J5" s="29" t="s">
        <v>37</v>
      </c>
      <c r="K5" s="22">
        <v>235.45</v>
      </c>
      <c r="L5" s="22">
        <v>2354.5</v>
      </c>
      <c r="M5" s="59">
        <v>7052</v>
      </c>
      <c r="N5" s="53" t="s">
        <v>77</v>
      </c>
      <c r="O5" s="41" t="s">
        <v>43</v>
      </c>
      <c r="P5" s="41" t="s">
        <v>17</v>
      </c>
    </row>
    <row r="6" spans="1:16" x14ac:dyDescent="0.3">
      <c r="A6" s="18" t="s">
        <v>31</v>
      </c>
      <c r="B6" s="19" t="s">
        <v>33</v>
      </c>
      <c r="C6" s="19" t="s">
        <v>19</v>
      </c>
      <c r="D6" s="19">
        <v>20</v>
      </c>
      <c r="E6" s="19">
        <v>20</v>
      </c>
      <c r="F6" s="19">
        <v>0</v>
      </c>
      <c r="G6" s="19">
        <v>0</v>
      </c>
      <c r="H6" s="20">
        <v>10</v>
      </c>
      <c r="I6" s="29" t="s">
        <v>38</v>
      </c>
      <c r="J6" s="29" t="s">
        <v>39</v>
      </c>
      <c r="K6" s="22">
        <v>238.25</v>
      </c>
      <c r="L6" s="22">
        <v>2382.5</v>
      </c>
      <c r="M6" s="60"/>
      <c r="N6" s="50"/>
      <c r="O6" s="48"/>
      <c r="P6" s="48"/>
    </row>
    <row r="7" spans="1:16" x14ac:dyDescent="0.3">
      <c r="A7" s="18" t="s">
        <v>32</v>
      </c>
      <c r="B7" s="19" t="s">
        <v>34</v>
      </c>
      <c r="C7" s="19" t="s">
        <v>16</v>
      </c>
      <c r="D7" s="19">
        <v>20</v>
      </c>
      <c r="E7" s="19">
        <v>20</v>
      </c>
      <c r="F7" s="19">
        <v>0</v>
      </c>
      <c r="G7" s="19">
        <v>0</v>
      </c>
      <c r="H7" s="20">
        <v>10</v>
      </c>
      <c r="I7" s="29" t="s">
        <v>40</v>
      </c>
      <c r="J7" s="29" t="s">
        <v>41</v>
      </c>
      <c r="K7" s="22">
        <v>231.5</v>
      </c>
      <c r="L7" s="22">
        <v>2315</v>
      </c>
      <c r="M7" s="61"/>
      <c r="N7" s="44"/>
      <c r="O7" s="42"/>
      <c r="P7" s="42"/>
    </row>
    <row r="8" spans="1:16" ht="15" thickBot="1" x14ac:dyDescent="0.35">
      <c r="A8" s="1" t="s">
        <v>44</v>
      </c>
      <c r="B8" s="2" t="s">
        <v>33</v>
      </c>
      <c r="C8" s="2" t="s">
        <v>19</v>
      </c>
      <c r="D8" s="2">
        <v>150</v>
      </c>
      <c r="E8" s="2">
        <v>0</v>
      </c>
      <c r="F8" s="2">
        <v>0</v>
      </c>
      <c r="G8" s="2">
        <v>150</v>
      </c>
      <c r="H8" s="31">
        <v>150</v>
      </c>
      <c r="I8" s="32" t="s">
        <v>42</v>
      </c>
      <c r="J8" s="32" t="s">
        <v>45</v>
      </c>
      <c r="K8" s="33">
        <v>228.5</v>
      </c>
      <c r="L8" s="33">
        <v>34275</v>
      </c>
      <c r="M8" s="34">
        <v>34275</v>
      </c>
      <c r="N8" s="39" t="s">
        <v>47</v>
      </c>
      <c r="O8" s="8" t="s">
        <v>46</v>
      </c>
      <c r="P8" s="35" t="s">
        <v>17</v>
      </c>
    </row>
    <row r="9" spans="1:16" x14ac:dyDescent="0.3">
      <c r="A9" s="11" t="s">
        <v>47</v>
      </c>
      <c r="B9" s="12" t="s">
        <v>26</v>
      </c>
      <c r="C9" s="12" t="s">
        <v>48</v>
      </c>
      <c r="D9" s="12">
        <v>112</v>
      </c>
      <c r="E9" s="12">
        <v>0</v>
      </c>
      <c r="F9" s="12">
        <v>0</v>
      </c>
      <c r="G9" s="12">
        <v>112</v>
      </c>
      <c r="H9" s="30">
        <v>112</v>
      </c>
      <c r="I9" s="21" t="s">
        <v>49</v>
      </c>
      <c r="J9" s="21" t="s">
        <v>50</v>
      </c>
      <c r="K9" s="16">
        <v>235.45</v>
      </c>
      <c r="L9" s="16">
        <v>26370.400000000001</v>
      </c>
      <c r="M9" s="16">
        <v>26370.400000000001</v>
      </c>
      <c r="N9" s="26" t="s">
        <v>53</v>
      </c>
      <c r="O9" s="27" t="s">
        <v>52</v>
      </c>
      <c r="P9" s="17" t="s">
        <v>54</v>
      </c>
    </row>
    <row r="10" spans="1:16" x14ac:dyDescent="0.3">
      <c r="A10" s="18" t="s">
        <v>55</v>
      </c>
      <c r="B10" s="19" t="s">
        <v>56</v>
      </c>
      <c r="C10" s="19" t="s">
        <v>18</v>
      </c>
      <c r="D10" s="19">
        <v>30</v>
      </c>
      <c r="E10" s="19">
        <v>0</v>
      </c>
      <c r="F10" s="19">
        <v>30</v>
      </c>
      <c r="G10" s="19">
        <v>0</v>
      </c>
      <c r="H10" s="20">
        <v>21</v>
      </c>
      <c r="I10" s="21" t="s">
        <v>51</v>
      </c>
      <c r="J10" s="21" t="s">
        <v>57</v>
      </c>
      <c r="K10" s="22">
        <v>244</v>
      </c>
      <c r="L10" s="22">
        <v>5124</v>
      </c>
      <c r="M10" s="45">
        <v>34404</v>
      </c>
      <c r="N10" s="53" t="s">
        <v>78</v>
      </c>
      <c r="O10" s="41" t="s">
        <v>61</v>
      </c>
      <c r="P10" s="41" t="s">
        <v>54</v>
      </c>
    </row>
    <row r="11" spans="1:16" x14ac:dyDescent="0.3">
      <c r="A11" s="18" t="s">
        <v>55</v>
      </c>
      <c r="B11" s="19" t="s">
        <v>56</v>
      </c>
      <c r="C11" s="19" t="s">
        <v>18</v>
      </c>
      <c r="D11" s="19">
        <v>120</v>
      </c>
      <c r="E11" s="19">
        <v>0</v>
      </c>
      <c r="F11" s="19">
        <v>0</v>
      </c>
      <c r="G11" s="19">
        <v>120</v>
      </c>
      <c r="H11" s="20">
        <v>120</v>
      </c>
      <c r="I11" s="21" t="s">
        <v>58</v>
      </c>
      <c r="J11" s="21" t="s">
        <v>59</v>
      </c>
      <c r="K11" s="22">
        <v>244</v>
      </c>
      <c r="L11" s="22">
        <v>29280</v>
      </c>
      <c r="M11" s="46"/>
      <c r="N11" s="44"/>
      <c r="O11" s="42"/>
      <c r="P11" s="42"/>
    </row>
    <row r="12" spans="1:16" x14ac:dyDescent="0.3">
      <c r="A12" s="18" t="s">
        <v>62</v>
      </c>
      <c r="B12" s="19" t="s">
        <v>34</v>
      </c>
      <c r="C12" s="19" t="s">
        <v>16</v>
      </c>
      <c r="D12" s="19">
        <v>120</v>
      </c>
      <c r="E12" s="19">
        <v>0</v>
      </c>
      <c r="F12" s="19">
        <v>0</v>
      </c>
      <c r="G12" s="19">
        <v>120</v>
      </c>
      <c r="H12" s="20">
        <v>120</v>
      </c>
      <c r="I12" s="29" t="s">
        <v>60</v>
      </c>
      <c r="J12" s="29" t="s">
        <v>68</v>
      </c>
      <c r="K12" s="22">
        <v>231.5</v>
      </c>
      <c r="L12" s="22">
        <v>27780</v>
      </c>
      <c r="M12" s="45">
        <v>97005</v>
      </c>
      <c r="N12" s="43" t="s">
        <v>74</v>
      </c>
      <c r="O12" s="41" t="s">
        <v>75</v>
      </c>
      <c r="P12" s="41" t="s">
        <v>54</v>
      </c>
    </row>
    <row r="13" spans="1:16" x14ac:dyDescent="0.3">
      <c r="A13" s="18" t="s">
        <v>63</v>
      </c>
      <c r="B13" s="19" t="s">
        <v>64</v>
      </c>
      <c r="C13" s="19" t="s">
        <v>66</v>
      </c>
      <c r="D13" s="19">
        <v>198</v>
      </c>
      <c r="E13" s="19">
        <v>0</v>
      </c>
      <c r="F13" s="19">
        <v>198</v>
      </c>
      <c r="G13" s="19">
        <v>0</v>
      </c>
      <c r="H13" s="20">
        <v>138.6</v>
      </c>
      <c r="I13" s="21" t="s">
        <v>69</v>
      </c>
      <c r="J13" s="21" t="s">
        <v>70</v>
      </c>
      <c r="K13" s="22">
        <v>243.85</v>
      </c>
      <c r="L13" s="22">
        <v>33798</v>
      </c>
      <c r="M13" s="52"/>
      <c r="N13" s="50"/>
      <c r="O13" s="48"/>
      <c r="P13" s="48"/>
    </row>
    <row r="14" spans="1:16" ht="15" thickBot="1" x14ac:dyDescent="0.35">
      <c r="A14" s="1" t="s">
        <v>63</v>
      </c>
      <c r="B14" s="2" t="s">
        <v>65</v>
      </c>
      <c r="C14" s="2" t="s">
        <v>67</v>
      </c>
      <c r="D14" s="2">
        <v>210</v>
      </c>
      <c r="E14" s="2">
        <v>0</v>
      </c>
      <c r="F14" s="2">
        <v>210</v>
      </c>
      <c r="G14" s="2">
        <v>0</v>
      </c>
      <c r="H14" s="31">
        <v>147</v>
      </c>
      <c r="I14" s="37" t="s">
        <v>71</v>
      </c>
      <c r="J14" s="37" t="s">
        <v>72</v>
      </c>
      <c r="K14" s="33">
        <v>241</v>
      </c>
      <c r="L14" s="33">
        <v>35427</v>
      </c>
      <c r="M14" s="55"/>
      <c r="N14" s="54"/>
      <c r="O14" s="56"/>
      <c r="P14" s="56"/>
    </row>
    <row r="15" spans="1:16" x14ac:dyDescent="0.3">
      <c r="A15" s="11" t="s">
        <v>79</v>
      </c>
      <c r="B15" s="12" t="s">
        <v>33</v>
      </c>
      <c r="C15" s="12" t="s">
        <v>19</v>
      </c>
      <c r="D15" s="12">
        <v>150</v>
      </c>
      <c r="E15" s="12">
        <v>0</v>
      </c>
      <c r="F15" s="12">
        <v>0</v>
      </c>
      <c r="G15" s="12">
        <v>150</v>
      </c>
      <c r="H15" s="30">
        <v>150</v>
      </c>
      <c r="I15" s="21" t="s">
        <v>73</v>
      </c>
      <c r="J15" s="21" t="s">
        <v>81</v>
      </c>
      <c r="K15" s="16">
        <v>238.25</v>
      </c>
      <c r="L15" s="16">
        <v>35737.5</v>
      </c>
      <c r="M15" s="51">
        <v>126835.5</v>
      </c>
      <c r="N15" s="49" t="s">
        <v>85</v>
      </c>
      <c r="O15" s="47" t="s">
        <v>86</v>
      </c>
      <c r="P15" s="47" t="s">
        <v>84</v>
      </c>
    </row>
    <row r="16" spans="1:16" x14ac:dyDescent="0.3">
      <c r="A16" s="18" t="s">
        <v>79</v>
      </c>
      <c r="B16" s="19" t="s">
        <v>65</v>
      </c>
      <c r="C16" s="19" t="s">
        <v>67</v>
      </c>
      <c r="D16" s="19">
        <v>540</v>
      </c>
      <c r="E16" s="19">
        <v>0</v>
      </c>
      <c r="F16" s="19">
        <v>540</v>
      </c>
      <c r="G16" s="19">
        <v>0</v>
      </c>
      <c r="H16" s="20">
        <v>378</v>
      </c>
      <c r="I16" s="21" t="s">
        <v>82</v>
      </c>
      <c r="J16" s="21" t="s">
        <v>83</v>
      </c>
      <c r="K16" s="22">
        <v>241</v>
      </c>
      <c r="L16" s="22">
        <v>91098</v>
      </c>
      <c r="M16" s="46"/>
      <c r="N16" s="44"/>
      <c r="O16" s="42"/>
      <c r="P16" s="42"/>
    </row>
    <row r="17" spans="1:16" x14ac:dyDescent="0.3">
      <c r="A17" s="18" t="s">
        <v>80</v>
      </c>
      <c r="B17" s="19" t="s">
        <v>34</v>
      </c>
      <c r="C17" s="19" t="s">
        <v>16</v>
      </c>
      <c r="D17" s="19">
        <v>120</v>
      </c>
      <c r="E17" s="19">
        <v>0</v>
      </c>
      <c r="F17" s="19">
        <v>0</v>
      </c>
      <c r="G17" s="19">
        <v>120</v>
      </c>
      <c r="H17" s="20">
        <v>120</v>
      </c>
      <c r="I17" s="29" t="s">
        <v>87</v>
      </c>
      <c r="J17" s="29" t="s">
        <v>88</v>
      </c>
      <c r="K17" s="22">
        <v>231.5</v>
      </c>
      <c r="L17" s="22">
        <v>27780</v>
      </c>
      <c r="M17" s="45">
        <v>52668</v>
      </c>
      <c r="N17" s="43" t="s">
        <v>91</v>
      </c>
      <c r="O17" s="41" t="s">
        <v>92</v>
      </c>
      <c r="P17" s="41" t="s">
        <v>84</v>
      </c>
    </row>
    <row r="18" spans="1:16" ht="15" thickBot="1" x14ac:dyDescent="0.35">
      <c r="A18" s="1" t="s">
        <v>80</v>
      </c>
      <c r="B18" s="2" t="s">
        <v>56</v>
      </c>
      <c r="C18" s="2" t="s">
        <v>18</v>
      </c>
      <c r="D18" s="2">
        <v>102</v>
      </c>
      <c r="E18" s="2">
        <v>0</v>
      </c>
      <c r="F18" s="2">
        <v>0</v>
      </c>
      <c r="G18" s="2">
        <v>102</v>
      </c>
      <c r="H18" s="31">
        <v>102</v>
      </c>
      <c r="I18" s="37" t="s">
        <v>89</v>
      </c>
      <c r="J18" s="37" t="s">
        <v>90</v>
      </c>
      <c r="K18" s="33">
        <v>244</v>
      </c>
      <c r="L18" s="33">
        <v>24888</v>
      </c>
      <c r="M18" s="55"/>
      <c r="N18" s="54"/>
      <c r="O18" s="56"/>
      <c r="P18" s="56"/>
    </row>
    <row r="19" spans="1:16" x14ac:dyDescent="0.3">
      <c r="A19" s="11" t="s">
        <v>94</v>
      </c>
      <c r="B19" s="12" t="s">
        <v>26</v>
      </c>
      <c r="C19" s="12" t="s">
        <v>48</v>
      </c>
      <c r="D19" s="12">
        <v>50</v>
      </c>
      <c r="E19" s="12">
        <v>0</v>
      </c>
      <c r="F19" s="12">
        <v>0</v>
      </c>
      <c r="G19" s="12">
        <v>50</v>
      </c>
      <c r="H19" s="30">
        <v>50</v>
      </c>
      <c r="I19" s="21" t="s">
        <v>106</v>
      </c>
      <c r="J19" s="21" t="s">
        <v>107</v>
      </c>
      <c r="K19" s="16">
        <v>235.45</v>
      </c>
      <c r="L19" s="16">
        <v>11772.5</v>
      </c>
      <c r="M19" s="51">
        <v>59584.75</v>
      </c>
      <c r="N19" s="49" t="s">
        <v>97</v>
      </c>
      <c r="O19" s="47" t="s">
        <v>127</v>
      </c>
      <c r="P19" s="47" t="s">
        <v>126</v>
      </c>
    </row>
    <row r="20" spans="1:16" x14ac:dyDescent="0.3">
      <c r="A20" s="11" t="s">
        <v>94</v>
      </c>
      <c r="B20" s="19" t="s">
        <v>33</v>
      </c>
      <c r="C20" s="19" t="s">
        <v>19</v>
      </c>
      <c r="D20" s="19">
        <v>55</v>
      </c>
      <c r="E20" s="19">
        <v>0</v>
      </c>
      <c r="F20" s="19">
        <v>0</v>
      </c>
      <c r="G20" s="19">
        <v>55</v>
      </c>
      <c r="H20" s="20">
        <v>55</v>
      </c>
      <c r="I20" s="21" t="s">
        <v>108</v>
      </c>
      <c r="J20" s="21" t="s">
        <v>109</v>
      </c>
      <c r="K20" s="22">
        <v>238.25</v>
      </c>
      <c r="L20" s="22">
        <v>13103.75</v>
      </c>
      <c r="M20" s="52"/>
      <c r="N20" s="50"/>
      <c r="O20" s="48"/>
      <c r="P20" s="48"/>
    </row>
    <row r="21" spans="1:16" x14ac:dyDescent="0.3">
      <c r="A21" s="11" t="s">
        <v>94</v>
      </c>
      <c r="B21" s="19" t="s">
        <v>34</v>
      </c>
      <c r="C21" s="19" t="s">
        <v>16</v>
      </c>
      <c r="D21" s="19">
        <v>120</v>
      </c>
      <c r="E21" s="19">
        <v>0</v>
      </c>
      <c r="F21" s="19">
        <v>0</v>
      </c>
      <c r="G21" s="19">
        <v>120</v>
      </c>
      <c r="H21" s="20">
        <v>120</v>
      </c>
      <c r="I21" s="21" t="s">
        <v>110</v>
      </c>
      <c r="J21" s="21" t="s">
        <v>111</v>
      </c>
      <c r="K21" s="22">
        <v>231.5</v>
      </c>
      <c r="L21" s="22">
        <v>27780</v>
      </c>
      <c r="M21" s="52"/>
      <c r="N21" s="50"/>
      <c r="O21" s="48"/>
      <c r="P21" s="48"/>
    </row>
    <row r="22" spans="1:16" x14ac:dyDescent="0.3">
      <c r="A22" s="11" t="s">
        <v>94</v>
      </c>
      <c r="B22" s="19" t="s">
        <v>95</v>
      </c>
      <c r="C22" s="19" t="s">
        <v>96</v>
      </c>
      <c r="D22" s="19">
        <v>30</v>
      </c>
      <c r="E22" s="19">
        <v>0</v>
      </c>
      <c r="F22" s="19">
        <v>0</v>
      </c>
      <c r="G22" s="19">
        <v>30</v>
      </c>
      <c r="H22" s="20">
        <v>30</v>
      </c>
      <c r="I22" s="21" t="s">
        <v>112</v>
      </c>
      <c r="J22" s="21" t="s">
        <v>113</v>
      </c>
      <c r="K22" s="22">
        <v>230.95</v>
      </c>
      <c r="L22" s="22">
        <v>6928.5</v>
      </c>
      <c r="M22" s="46"/>
      <c r="N22" s="44"/>
      <c r="O22" s="42"/>
      <c r="P22" s="42"/>
    </row>
    <row r="23" spans="1:16" x14ac:dyDescent="0.3">
      <c r="A23" s="18" t="s">
        <v>97</v>
      </c>
      <c r="B23" s="19" t="s">
        <v>98</v>
      </c>
      <c r="C23" s="19" t="s">
        <v>18</v>
      </c>
      <c r="D23" s="19">
        <v>120</v>
      </c>
      <c r="E23" s="19">
        <v>0</v>
      </c>
      <c r="F23" s="19">
        <v>0</v>
      </c>
      <c r="G23" s="19">
        <v>120</v>
      </c>
      <c r="H23" s="20">
        <v>120</v>
      </c>
      <c r="I23" s="21" t="s">
        <v>114</v>
      </c>
      <c r="J23" s="21" t="s">
        <v>115</v>
      </c>
      <c r="K23" s="22">
        <v>243.85</v>
      </c>
      <c r="L23" s="22">
        <v>29262</v>
      </c>
      <c r="M23" s="45">
        <v>56844</v>
      </c>
      <c r="N23" s="43" t="s">
        <v>129</v>
      </c>
      <c r="O23" s="41" t="s">
        <v>128</v>
      </c>
      <c r="P23" s="41" t="s">
        <v>126</v>
      </c>
    </row>
    <row r="24" spans="1:16" x14ac:dyDescent="0.3">
      <c r="A24" s="18" t="s">
        <v>97</v>
      </c>
      <c r="B24" s="19" t="s">
        <v>99</v>
      </c>
      <c r="C24" s="19" t="s">
        <v>19</v>
      </c>
      <c r="D24" s="19">
        <v>120</v>
      </c>
      <c r="E24" s="19">
        <v>0</v>
      </c>
      <c r="F24" s="19">
        <v>0</v>
      </c>
      <c r="G24" s="19">
        <v>120</v>
      </c>
      <c r="H24" s="20">
        <v>120</v>
      </c>
      <c r="I24" s="21" t="s">
        <v>116</v>
      </c>
      <c r="J24" s="21" t="s">
        <v>117</v>
      </c>
      <c r="K24" s="22">
        <v>229.85</v>
      </c>
      <c r="L24" s="22">
        <v>27582</v>
      </c>
      <c r="M24" s="46"/>
      <c r="N24" s="44"/>
      <c r="O24" s="42"/>
      <c r="P24" s="42"/>
    </row>
    <row r="25" spans="1:16" x14ac:dyDescent="0.3">
      <c r="A25" s="18" t="s">
        <v>100</v>
      </c>
      <c r="B25" s="19" t="s">
        <v>34</v>
      </c>
      <c r="C25" s="19" t="s">
        <v>16</v>
      </c>
      <c r="D25" s="19">
        <v>120</v>
      </c>
      <c r="E25" s="19">
        <v>0</v>
      </c>
      <c r="F25" s="19">
        <v>0</v>
      </c>
      <c r="G25" s="19">
        <v>120</v>
      </c>
      <c r="H25" s="20">
        <v>120</v>
      </c>
      <c r="I25" s="21" t="s">
        <v>118</v>
      </c>
      <c r="J25" s="21" t="s">
        <v>119</v>
      </c>
      <c r="K25" s="22">
        <v>231.5</v>
      </c>
      <c r="L25" s="22">
        <v>27780</v>
      </c>
      <c r="M25" s="45">
        <v>41637</v>
      </c>
      <c r="N25" s="43" t="s">
        <v>131</v>
      </c>
      <c r="O25" s="41" t="s">
        <v>130</v>
      </c>
      <c r="P25" s="41" t="s">
        <v>126</v>
      </c>
    </row>
    <row r="26" spans="1:16" x14ac:dyDescent="0.3">
      <c r="A26" s="18" t="s">
        <v>100</v>
      </c>
      <c r="B26" s="19" t="s">
        <v>101</v>
      </c>
      <c r="C26" s="19" t="s">
        <v>96</v>
      </c>
      <c r="D26" s="19">
        <v>60</v>
      </c>
      <c r="E26" s="19">
        <v>0</v>
      </c>
      <c r="F26" s="19">
        <v>0</v>
      </c>
      <c r="G26" s="19">
        <v>60</v>
      </c>
      <c r="H26" s="20">
        <v>60</v>
      </c>
      <c r="I26" s="21" t="s">
        <v>120</v>
      </c>
      <c r="J26" s="21" t="s">
        <v>121</v>
      </c>
      <c r="K26" s="22">
        <v>230.95</v>
      </c>
      <c r="L26" s="22">
        <v>13857</v>
      </c>
      <c r="M26" s="46"/>
      <c r="N26" s="44"/>
      <c r="O26" s="42"/>
      <c r="P26" s="42"/>
    </row>
    <row r="27" spans="1:16" ht="28.8" x14ac:dyDescent="0.3">
      <c r="A27" s="18" t="s">
        <v>102</v>
      </c>
      <c r="B27" s="19" t="s">
        <v>98</v>
      </c>
      <c r="C27" s="28" t="s">
        <v>104</v>
      </c>
      <c r="D27" s="19">
        <v>300</v>
      </c>
      <c r="E27" s="19">
        <v>0</v>
      </c>
      <c r="F27" s="19">
        <v>300</v>
      </c>
      <c r="G27" s="19">
        <v>0</v>
      </c>
      <c r="H27" s="20">
        <v>210</v>
      </c>
      <c r="I27" s="21" t="s">
        <v>122</v>
      </c>
      <c r="J27" s="21" t="s">
        <v>123</v>
      </c>
      <c r="K27" s="22">
        <v>244</v>
      </c>
      <c r="L27" s="22">
        <v>51240</v>
      </c>
      <c r="M27" s="45">
        <v>99508.5</v>
      </c>
      <c r="N27" s="43" t="s">
        <v>133</v>
      </c>
      <c r="O27" s="41" t="s">
        <v>132</v>
      </c>
      <c r="P27" s="41" t="s">
        <v>126</v>
      </c>
    </row>
    <row r="28" spans="1:16" x14ac:dyDescent="0.3">
      <c r="A28" s="18" t="s">
        <v>103</v>
      </c>
      <c r="B28" s="19" t="s">
        <v>99</v>
      </c>
      <c r="C28" s="19" t="s">
        <v>105</v>
      </c>
      <c r="D28" s="19">
        <v>300</v>
      </c>
      <c r="E28" s="19">
        <v>0</v>
      </c>
      <c r="F28" s="19">
        <v>300</v>
      </c>
      <c r="G28" s="19">
        <v>0</v>
      </c>
      <c r="H28" s="20">
        <v>210</v>
      </c>
      <c r="I28" s="21" t="s">
        <v>124</v>
      </c>
      <c r="J28" s="21" t="s">
        <v>125</v>
      </c>
      <c r="K28" s="22">
        <v>229.85</v>
      </c>
      <c r="L28" s="22">
        <v>48268.5</v>
      </c>
      <c r="M28" s="46"/>
      <c r="N28" s="44"/>
      <c r="O28" s="42"/>
      <c r="P28" s="42"/>
    </row>
    <row r="29" spans="1:16" x14ac:dyDescent="0.3">
      <c r="D29">
        <f>SUM(D3:D28)</f>
        <v>3567</v>
      </c>
      <c r="E29">
        <f>SUM(E3:E28)</f>
        <v>60</v>
      </c>
      <c r="F29">
        <f>SUM(F3:F28)</f>
        <v>1788</v>
      </c>
      <c r="G29">
        <f>SUM(G3:G28)</f>
        <v>1719</v>
      </c>
      <c r="H29" s="40">
        <f>SUM(H3:H28)</f>
        <v>3000.6</v>
      </c>
      <c r="L29" s="40">
        <f>SUM(L3:L28)</f>
        <v>708263.3</v>
      </c>
      <c r="M29" s="40">
        <f>SUM(M3:M28)</f>
        <v>708263.3</v>
      </c>
    </row>
  </sheetData>
  <mergeCells count="37">
    <mergeCell ref="M17:M18"/>
    <mergeCell ref="N17:N18"/>
    <mergeCell ref="O17:O18"/>
    <mergeCell ref="P17:P18"/>
    <mergeCell ref="A1:P1"/>
    <mergeCell ref="M5:M7"/>
    <mergeCell ref="N5:N7"/>
    <mergeCell ref="O5:O7"/>
    <mergeCell ref="M15:M16"/>
    <mergeCell ref="N15:N16"/>
    <mergeCell ref="O15:O16"/>
    <mergeCell ref="P15:P16"/>
    <mergeCell ref="O12:O14"/>
    <mergeCell ref="M12:M14"/>
    <mergeCell ref="P12:P14"/>
    <mergeCell ref="P5:P7"/>
    <mergeCell ref="M10:M11"/>
    <mergeCell ref="N10:N11"/>
    <mergeCell ref="O10:O11"/>
    <mergeCell ref="P10:P11"/>
    <mergeCell ref="N12:N14"/>
    <mergeCell ref="O19:O22"/>
    <mergeCell ref="P19:P22"/>
    <mergeCell ref="N19:N22"/>
    <mergeCell ref="M19:M22"/>
    <mergeCell ref="P23:P24"/>
    <mergeCell ref="O23:O24"/>
    <mergeCell ref="N23:N24"/>
    <mergeCell ref="M23:M24"/>
    <mergeCell ref="P27:P28"/>
    <mergeCell ref="O27:O28"/>
    <mergeCell ref="N27:N28"/>
    <mergeCell ref="M27:M28"/>
    <mergeCell ref="O25:O26"/>
    <mergeCell ref="N25:N26"/>
    <mergeCell ref="M25:M26"/>
    <mergeCell ref="P25:P26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2026-01-09T19:27:34Z</cp:lastPrinted>
  <dcterms:created xsi:type="dcterms:W3CDTF">2025-07-09T14:49:23Z</dcterms:created>
  <dcterms:modified xsi:type="dcterms:W3CDTF">2026-06-02T12:25:41Z</dcterms:modified>
</cp:coreProperties>
</file>